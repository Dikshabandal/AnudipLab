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iksha Bandal\Documents\"/>
    </mc:Choice>
  </mc:AlternateContent>
  <xr:revisionPtr revIDLastSave="0" documentId="8_{451A7600-8877-4A16-9727-D5F8EB5A93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2" i="1"/>
  <c r="H3" i="1"/>
  <c r="H4" i="1"/>
  <c r="H5" i="1"/>
  <c r="H6" i="1"/>
  <c r="H7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<sst xmlns="http://schemas.openxmlformats.org/spreadsheetml/2006/main" count="33" uniqueCount="31">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</sst>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Normal="100" workbookViewId="0">
      <selection activeCell="G22" sqref="G22"/>
    </sheetView>
  </sheetViews>
  <sheetFormatPr defaultRowHeight="14.4" x14ac:dyDescent="0.3"/>
  <cols>
    <col min="1" max="1" width="26.33203125" style="1" customWidth="1"/>
    <col min="2" max="2" width="15" style="1" customWidth="1"/>
    <col min="3" max="4" width="10" style="1" customWidth="1"/>
    <col min="5" max="5" width="12" style="1" customWidth="1"/>
    <col min="6" max="6" width="17.44140625" customWidth="1"/>
    <col min="7" max="7" width="19.77734375" customWidth="1"/>
    <col min="8" max="8" width="16.5546875" customWidth="1"/>
    <col min="9" max="9" width="11.21875" customWidth="1"/>
    <col min="10" max="10" width="17.44140625" customWidth="1"/>
    <col min="11" max="11" width="11.5546875" customWidth="1"/>
    <col min="12" max="13" width="18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 t="str">
        <f>IF(C2&gt;=D2,"Yes","No")</f>
        <v>No</v>
      </c>
      <c r="G2" s="3" t="str">
        <f>IF(AND(E2="North",C2&gt;200),"Eligible","Not Eligible")</f>
        <v>Not Eligible</v>
      </c>
      <c r="H2" s="8">
        <f>IF(C2&gt;=200,10%,IF(C2&gt;=150,7%,5%))</f>
        <v>0.05</v>
      </c>
      <c r="I2" s="3">
        <f>IF(C2&gt;=D2,C2*10%,C2*5%)</f>
        <v>6</v>
      </c>
      <c r="J2" s="3" t="str">
        <f>IF(C2&gt;=200,"Excellent",IF(C2&gt;=150,"Good","Needs Improvement"))</f>
        <v>Needs Improvement</v>
      </c>
      <c r="K2" s="3" t="str">
        <f>IF(C2&gt;200,"High",IF(C2&gt;100,"Medium","Low"))</f>
        <v>Medium</v>
      </c>
      <c r="L2" s="3" t="str">
        <f>IF(AND(C2&gt;=150,E2="North"),"$500","$300")</f>
        <v>$300</v>
      </c>
      <c r="M2" s="4" t="str">
        <f>IF(C2&gt;=PERCENTILE(C2:C7,0.75),"Yes","No")</f>
        <v>No</v>
      </c>
    </row>
    <row r="3" spans="1:13" x14ac:dyDescent="0.3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 t="str">
        <f t="shared" ref="F3:F7" si="0">IF(C3&gt;=D3,"Yes","No")</f>
        <v>Yes</v>
      </c>
      <c r="G3" s="3" t="str">
        <f t="shared" ref="G3:G7" si="1">IF(AND(E3="North",C3&gt;200),"Eligible","Not Eligible")</f>
        <v>Not Eligible</v>
      </c>
      <c r="H3" s="8">
        <f t="shared" ref="H3:H7" si="2">IF(C3&gt;=200,10%,IF(C3&gt;=150,7%,5%))</f>
        <v>7.0000000000000007E-2</v>
      </c>
      <c r="I3" s="3">
        <f t="shared" ref="I3:I7" si="3">IF(C3&gt;=D3,C3*10%,C3*5%)</f>
        <v>15</v>
      </c>
      <c r="J3" s="3" t="str">
        <f t="shared" ref="J3:J7" si="4">IF(C3&gt;=200,"Excellent",IF(C3&gt;=150,"Good","Needs Improvement"))</f>
        <v>Good</v>
      </c>
      <c r="K3" s="3" t="str">
        <f t="shared" ref="K3:K7" si="5">IF(C3&gt;200,"High",IF(C3&gt;100,"Medium","Low"))</f>
        <v>Medium</v>
      </c>
      <c r="L3" s="3" t="str">
        <f t="shared" ref="L3:L7" si="6">IF(AND(C3&gt;=150,E3="North"),"$500","$300")</f>
        <v>$300</v>
      </c>
      <c r="M3" s="4" t="str">
        <f t="shared" ref="M3:M7" si="7">IF(C3&gt;=PERCENTILE(C3:C8,0.75),"Yes","No")</f>
        <v>No</v>
      </c>
    </row>
    <row r="4" spans="1:13" x14ac:dyDescent="0.3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 t="str">
        <f t="shared" si="0"/>
        <v>Yes</v>
      </c>
      <c r="G4" s="3" t="str">
        <f t="shared" si="1"/>
        <v>Not Eligible</v>
      </c>
      <c r="H4" s="8">
        <f t="shared" si="2"/>
        <v>0.1</v>
      </c>
      <c r="I4" s="3">
        <f t="shared" si="3"/>
        <v>20</v>
      </c>
      <c r="J4" s="3" t="str">
        <f t="shared" si="4"/>
        <v>Excellent</v>
      </c>
      <c r="K4" s="3" t="str">
        <f t="shared" si="5"/>
        <v>Medium</v>
      </c>
      <c r="L4" s="3" t="str">
        <f t="shared" si="6"/>
        <v>$300</v>
      </c>
      <c r="M4" s="4" t="str">
        <f t="shared" si="7"/>
        <v>No</v>
      </c>
    </row>
    <row r="5" spans="1:13" x14ac:dyDescent="0.3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 t="str">
        <f t="shared" si="0"/>
        <v>No</v>
      </c>
      <c r="G5" s="3" t="str">
        <f t="shared" si="1"/>
        <v>Not Eligible</v>
      </c>
      <c r="H5" s="8">
        <f t="shared" si="2"/>
        <v>0.05</v>
      </c>
      <c r="I5" s="3">
        <f t="shared" si="3"/>
        <v>4.5</v>
      </c>
      <c r="J5" s="3" t="str">
        <f t="shared" si="4"/>
        <v>Needs Improvement</v>
      </c>
      <c r="K5" s="3" t="str">
        <f t="shared" si="5"/>
        <v>Low</v>
      </c>
      <c r="L5" s="3" t="str">
        <f t="shared" si="6"/>
        <v>$300</v>
      </c>
      <c r="M5" s="4" t="str">
        <f t="shared" si="7"/>
        <v>No</v>
      </c>
    </row>
    <row r="6" spans="1:13" x14ac:dyDescent="0.3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 t="str">
        <f t="shared" si="0"/>
        <v>Yes</v>
      </c>
      <c r="G6" s="3" t="str">
        <f t="shared" si="1"/>
        <v>Eligible</v>
      </c>
      <c r="H6" s="8">
        <f t="shared" si="2"/>
        <v>0.1</v>
      </c>
      <c r="I6" s="3">
        <f t="shared" si="3"/>
        <v>22</v>
      </c>
      <c r="J6" s="3" t="str">
        <f t="shared" si="4"/>
        <v>Excellent</v>
      </c>
      <c r="K6" s="3" t="str">
        <f t="shared" si="5"/>
        <v>High</v>
      </c>
      <c r="L6" s="3" t="str">
        <f t="shared" si="6"/>
        <v>$500</v>
      </c>
      <c r="M6" s="4" t="str">
        <f t="shared" si="7"/>
        <v>Yes</v>
      </c>
    </row>
    <row r="7" spans="1:13" x14ac:dyDescent="0.3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 t="str">
        <f t="shared" si="0"/>
        <v>No</v>
      </c>
      <c r="G7" s="3" t="str">
        <f t="shared" si="1"/>
        <v>Not Eligible</v>
      </c>
      <c r="H7" s="8">
        <f t="shared" si="2"/>
        <v>0.05</v>
      </c>
      <c r="I7" s="3">
        <f t="shared" si="3"/>
        <v>6.5</v>
      </c>
      <c r="J7" s="3" t="str">
        <f t="shared" si="4"/>
        <v>Needs Improvement</v>
      </c>
      <c r="K7" s="3" t="str">
        <f t="shared" si="5"/>
        <v>Medium</v>
      </c>
      <c r="L7" s="3" t="str">
        <f t="shared" si="6"/>
        <v>$300</v>
      </c>
      <c r="M7" s="4" t="str">
        <f t="shared" si="7"/>
        <v>Yes</v>
      </c>
    </row>
    <row r="10" spans="1:13" x14ac:dyDescent="0.3">
      <c r="A10" s="1" t="s">
        <v>23</v>
      </c>
    </row>
    <row r="11" spans="1:13" x14ac:dyDescent="0.3">
      <c r="A11" s="1" t="s">
        <v>24</v>
      </c>
    </row>
    <row r="12" spans="1:13" x14ac:dyDescent="0.3">
      <c r="A12" s="1" t="s">
        <v>25</v>
      </c>
    </row>
    <row r="13" spans="1:13" x14ac:dyDescent="0.3">
      <c r="A13" s="1" t="s">
        <v>26</v>
      </c>
    </row>
    <row r="14" spans="1:13" ht="16.95" customHeight="1" x14ac:dyDescent="0.3">
      <c r="A14" s="6" t="s">
        <v>27</v>
      </c>
      <c r="B14" s="6"/>
      <c r="C14" s="6"/>
      <c r="D14" s="6"/>
      <c r="E14" s="6"/>
      <c r="F14" s="6"/>
      <c r="G14" s="6"/>
      <c r="H14" s="6"/>
      <c r="I14" s="6"/>
      <c r="J14" s="6"/>
    </row>
    <row r="15" spans="1:13" ht="16.5" customHeight="1" x14ac:dyDescent="0.3">
      <c r="A15" s="7" t="s">
        <v>28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3">
      <c r="A16" s="1" t="s">
        <v>29</v>
      </c>
    </row>
    <row r="17" spans="1:1" x14ac:dyDescent="0.3">
      <c r="A17" s="1" t="s">
        <v>30</v>
      </c>
    </row>
  </sheetData>
  <mergeCells count="2">
    <mergeCell ref="A14:J14"/>
    <mergeCell ref="A15:M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Diksha Bandal</cp:lastModifiedBy>
  <dcterms:created xsi:type="dcterms:W3CDTF">2026-07-02T07:21:34Z</dcterms:created>
  <dcterms:modified xsi:type="dcterms:W3CDTF">2026-07-02T09:09:09Z</dcterms:modified>
</cp:coreProperties>
</file>